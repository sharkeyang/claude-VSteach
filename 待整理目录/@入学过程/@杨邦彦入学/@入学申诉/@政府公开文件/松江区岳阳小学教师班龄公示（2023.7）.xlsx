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rkWork\Documents\"/>
    </mc:Choice>
  </mc:AlternateContent>
  <xr:revisionPtr revIDLastSave="0" documentId="13_ncr:1_{F9DD46A5-E634-4414-B55B-DA2AE681FC3C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J34" i="1" l="1"/>
  <c r="E34" i="1"/>
  <c r="J33" i="1"/>
  <c r="E33" i="1"/>
  <c r="J32" i="1"/>
  <c r="E32" i="1"/>
  <c r="J31" i="1"/>
  <c r="E31" i="1"/>
  <c r="E30" i="1"/>
  <c r="J29" i="1"/>
  <c r="E29" i="1"/>
  <c r="J28" i="1"/>
  <c r="E28" i="1"/>
  <c r="J27" i="1"/>
  <c r="E27" i="1"/>
  <c r="J26" i="1"/>
  <c r="E26" i="1"/>
  <c r="J25" i="1"/>
  <c r="E25" i="1"/>
  <c r="J24" i="1"/>
  <c r="E24" i="1"/>
  <c r="J23" i="1"/>
  <c r="E23" i="1"/>
  <c r="J22" i="1"/>
  <c r="E22" i="1"/>
  <c r="J21" i="1"/>
  <c r="E21" i="1"/>
  <c r="J20" i="1"/>
  <c r="E20" i="1"/>
  <c r="J19" i="1"/>
  <c r="E19" i="1"/>
  <c r="J18" i="1"/>
  <c r="E18" i="1"/>
  <c r="J17" i="1"/>
  <c r="E17" i="1"/>
  <c r="J16" i="1"/>
  <c r="E16" i="1"/>
  <c r="J15" i="1"/>
  <c r="E15" i="1"/>
  <c r="J14" i="1"/>
  <c r="E14" i="1"/>
  <c r="O13" i="1"/>
  <c r="J13" i="1"/>
  <c r="E13" i="1"/>
  <c r="O12" i="1"/>
  <c r="J12" i="1"/>
  <c r="E12" i="1"/>
  <c r="O11" i="1"/>
  <c r="J11" i="1"/>
  <c r="E11" i="1"/>
  <c r="O10" i="1"/>
  <c r="J10" i="1"/>
  <c r="E10" i="1"/>
  <c r="O9" i="1"/>
  <c r="J9" i="1"/>
  <c r="E9" i="1"/>
  <c r="O8" i="1"/>
  <c r="J8" i="1"/>
  <c r="E8" i="1"/>
  <c r="O7" i="1"/>
  <c r="J7" i="1"/>
  <c r="E7" i="1"/>
  <c r="O6" i="1"/>
  <c r="J6" i="1"/>
  <c r="E6" i="1"/>
  <c r="O5" i="1"/>
  <c r="J5" i="1"/>
  <c r="E5" i="1"/>
  <c r="O4" i="1"/>
  <c r="J4" i="1"/>
  <c r="E4" i="1"/>
  <c r="O3" i="1"/>
  <c r="J3" i="1"/>
  <c r="E3" i="1"/>
</calcChain>
</file>

<file path=xl/sharedStrings.xml><?xml version="1.0" encoding="utf-8"?>
<sst xmlns="http://schemas.openxmlformats.org/spreadsheetml/2006/main" count="96" uniqueCount="86">
  <si>
    <t>松江区岳阳小学教师班龄公示（2023.7）</t>
  </si>
  <si>
    <t>序号</t>
  </si>
  <si>
    <t>姓名</t>
  </si>
  <si>
    <t>外校班龄</t>
  </si>
  <si>
    <t>本校班龄</t>
  </si>
  <si>
    <t>总计班龄</t>
  </si>
  <si>
    <t>赵林娟</t>
  </si>
  <si>
    <t>杨宇</t>
  </si>
  <si>
    <t>陈晓燕</t>
  </si>
  <si>
    <t>王国英</t>
  </si>
  <si>
    <t>姚慧倩</t>
  </si>
  <si>
    <t>王伟伟</t>
  </si>
  <si>
    <t>郭梦晴</t>
  </si>
  <si>
    <t>李月红</t>
  </si>
  <si>
    <t>叶宛瑾</t>
  </si>
  <si>
    <t>李哲琦</t>
  </si>
  <si>
    <t>孙慧</t>
  </si>
  <si>
    <t>冯高沙</t>
  </si>
  <si>
    <t>姚龙娣</t>
  </si>
  <si>
    <t>张炯</t>
  </si>
  <si>
    <t>蒋永观</t>
  </si>
  <si>
    <t>余盼</t>
  </si>
  <si>
    <t>吕超群</t>
  </si>
  <si>
    <t>赵建英</t>
  </si>
  <si>
    <t>徐莹佳</t>
  </si>
  <si>
    <t>杜庆圆</t>
  </si>
  <si>
    <t>贾春英</t>
  </si>
  <si>
    <t>顾琼瑶</t>
  </si>
  <si>
    <t>梁佩佩</t>
  </si>
  <si>
    <t>吴艳婷</t>
  </si>
  <si>
    <t>胡叶红</t>
  </si>
  <si>
    <t>夏易</t>
  </si>
  <si>
    <t>肖云珩</t>
  </si>
  <si>
    <t>金红香</t>
  </si>
  <si>
    <t>黄秀波</t>
  </si>
  <si>
    <t>金四云</t>
  </si>
  <si>
    <t>朱如依</t>
  </si>
  <si>
    <t>周盟易</t>
  </si>
  <si>
    <t>张丽花</t>
  </si>
  <si>
    <t>郑雪萍</t>
  </si>
  <si>
    <t>朱爱花</t>
  </si>
  <si>
    <t>唐芳</t>
  </si>
  <si>
    <t>杨庆博</t>
  </si>
  <si>
    <t>吴文慧</t>
  </si>
  <si>
    <t>项连斌</t>
  </si>
  <si>
    <t>池蕊</t>
  </si>
  <si>
    <t>宋旦丹</t>
  </si>
  <si>
    <t>徐欢青</t>
  </si>
  <si>
    <t>李汉青</t>
  </si>
  <si>
    <t>徐英</t>
  </si>
  <si>
    <t>林天杰</t>
  </si>
  <si>
    <t>牛妮</t>
  </si>
  <si>
    <t>顾晗韬</t>
  </si>
  <si>
    <t>周春兰</t>
  </si>
  <si>
    <t>金琪</t>
  </si>
  <si>
    <t>季晓娜</t>
  </si>
  <si>
    <t>韩奕</t>
  </si>
  <si>
    <t>姚炯</t>
  </si>
  <si>
    <t>许爱萍</t>
  </si>
  <si>
    <t>吕艳</t>
  </si>
  <si>
    <t>徐建英</t>
  </si>
  <si>
    <t>吴春梅</t>
  </si>
  <si>
    <t>喻晖</t>
  </si>
  <si>
    <t>耿明月</t>
  </si>
  <si>
    <t>郑海涛</t>
  </si>
  <si>
    <t>李珊珊</t>
  </si>
  <si>
    <t>刘露</t>
  </si>
  <si>
    <t>叶欢</t>
  </si>
  <si>
    <t>庄华</t>
  </si>
  <si>
    <t>刘素</t>
  </si>
  <si>
    <t>冯立晶</t>
  </si>
  <si>
    <t>陆宇骏</t>
  </si>
  <si>
    <t>高玮琦</t>
  </si>
  <si>
    <t>沈勇</t>
  </si>
  <si>
    <t>杨新梅</t>
  </si>
  <si>
    <t>李晓蕾</t>
  </si>
  <si>
    <t>张振荣</t>
  </si>
  <si>
    <t>顾强</t>
  </si>
  <si>
    <t>王梦颖</t>
  </si>
  <si>
    <t>郑维莉</t>
  </si>
  <si>
    <t>严萍</t>
  </si>
  <si>
    <t>何春郁</t>
  </si>
  <si>
    <t>张丽君</t>
  </si>
  <si>
    <t>瞿伟萍</t>
  </si>
  <si>
    <t>叶瑞华</t>
  </si>
  <si>
    <t>梁凯航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</si>
</sst>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b/>
      <sz val="11"/>
      <color rgb="FF000000"/>
      <name val="SimSun"/>
      <charset val="134"/>
    </font>
    <font>
      <b/>
      <sz val="11"/>
      <color rgb="FF000000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47"/>
  <sheetViews>
    <sheetView tabSelected="1" workbookViewId="0">
      <selection activeCell="S10" sqref="S10"/>
    </sheetView>
  </sheetViews>
  <sheetFormatPr defaultColWidth="9" defaultRowHeight="13.5"/>
  <cols>
    <col min="1" max="1" width="6.25" customWidth="1"/>
    <col min="2" max="2" width="7.625" customWidth="1"/>
    <col min="3" max="3" width="9.625" customWidth="1"/>
    <col min="4" max="4" width="10.5" customWidth="1"/>
    <col min="5" max="5" width="10.25" customWidth="1"/>
    <col min="6" max="6" width="6.25" customWidth="1"/>
    <col min="7" max="7" width="8" customWidth="1"/>
    <col min="8" max="8" width="10.625" customWidth="1"/>
    <col min="9" max="9" width="9.625" customWidth="1"/>
    <col min="10" max="10" width="10.25" customWidth="1"/>
    <col min="11" max="11" width="6.125" customWidth="1"/>
    <col min="12" max="12" width="7.5" customWidth="1"/>
    <col min="13" max="13" width="10" customWidth="1"/>
    <col min="14" max="14" width="9.75" customWidth="1"/>
    <col min="15" max="15" width="10.25" customWidth="1"/>
  </cols>
  <sheetData>
    <row r="1" spans="1:15" ht="2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7"/>
    </row>
    <row r="2" spans="1:15" ht="14.25">
      <c r="A2" s="12" t="s">
        <v>1</v>
      </c>
      <c r="B2" s="13" t="s">
        <v>2</v>
      </c>
      <c r="C2" s="14" t="s">
        <v>3</v>
      </c>
      <c r="D2" s="14" t="s">
        <v>4</v>
      </c>
      <c r="E2" s="14" t="s">
        <v>5</v>
      </c>
      <c r="F2" s="12" t="s">
        <v>1</v>
      </c>
      <c r="G2" s="13" t="s">
        <v>2</v>
      </c>
      <c r="H2" s="14" t="s">
        <v>3</v>
      </c>
      <c r="I2" s="14" t="s">
        <v>4</v>
      </c>
      <c r="J2" s="23" t="s">
        <v>5</v>
      </c>
      <c r="K2" s="12" t="s">
        <v>1</v>
      </c>
      <c r="L2" s="13" t="s">
        <v>2</v>
      </c>
      <c r="M2" s="14" t="s">
        <v>3</v>
      </c>
      <c r="N2" s="14" t="s">
        <v>4</v>
      </c>
      <c r="O2" s="23" t="s">
        <v>5</v>
      </c>
    </row>
    <row r="3" spans="1:15">
      <c r="A3" s="15">
        <v>1</v>
      </c>
      <c r="B3" s="1" t="s">
        <v>6</v>
      </c>
      <c r="C3" s="16">
        <v>3</v>
      </c>
      <c r="D3" s="16">
        <v>10</v>
      </c>
      <c r="E3" s="16">
        <f t="shared" ref="E3:E34" si="0">C3+D3</f>
        <v>13</v>
      </c>
      <c r="F3" s="17">
        <v>33</v>
      </c>
      <c r="G3" s="4" t="s">
        <v>7</v>
      </c>
      <c r="H3" s="18"/>
      <c r="I3" s="18">
        <v>4.5</v>
      </c>
      <c r="J3" s="18">
        <f>H3+I3</f>
        <v>4.5</v>
      </c>
      <c r="K3" s="2">
        <v>65</v>
      </c>
      <c r="L3" s="2" t="s">
        <v>8</v>
      </c>
      <c r="M3" s="18"/>
      <c r="N3" s="18">
        <v>12.5</v>
      </c>
      <c r="O3" s="19">
        <f t="shared" ref="O3:O12" si="1">M3+N3</f>
        <v>12.5</v>
      </c>
    </row>
    <row r="4" spans="1:15">
      <c r="A4" s="17">
        <v>2</v>
      </c>
      <c r="B4" s="3" t="s">
        <v>9</v>
      </c>
      <c r="C4" s="18">
        <v>8.5</v>
      </c>
      <c r="D4" s="18">
        <v>6</v>
      </c>
      <c r="E4" s="18">
        <f t="shared" si="0"/>
        <v>14.5</v>
      </c>
      <c r="F4" s="17">
        <v>34</v>
      </c>
      <c r="G4" s="10" t="s">
        <v>10</v>
      </c>
      <c r="H4" s="18"/>
      <c r="I4" s="18">
        <v>7.5</v>
      </c>
      <c r="J4" s="18">
        <f>H4+I4</f>
        <v>7.5</v>
      </c>
      <c r="K4" s="2">
        <v>66</v>
      </c>
      <c r="L4" s="2" t="s">
        <v>11</v>
      </c>
      <c r="M4" s="18"/>
      <c r="N4" s="18">
        <v>3.25</v>
      </c>
      <c r="O4" s="19">
        <f t="shared" si="1"/>
        <v>3.25</v>
      </c>
    </row>
    <row r="5" spans="1:15">
      <c r="A5" s="17">
        <v>3</v>
      </c>
      <c r="B5" s="3" t="s">
        <v>12</v>
      </c>
      <c r="C5" s="18"/>
      <c r="D5" s="18">
        <v>2</v>
      </c>
      <c r="E5" s="18">
        <f t="shared" si="0"/>
        <v>2</v>
      </c>
      <c r="F5" s="2">
        <v>35</v>
      </c>
      <c r="G5" s="4" t="s">
        <v>13</v>
      </c>
      <c r="H5" s="18">
        <v>3</v>
      </c>
      <c r="I5" s="18">
        <v>31.75</v>
      </c>
      <c r="J5" s="18">
        <f>H5+I5</f>
        <v>34.75</v>
      </c>
      <c r="K5" s="2">
        <v>67</v>
      </c>
      <c r="L5" s="2" t="s">
        <v>14</v>
      </c>
      <c r="M5" s="18"/>
      <c r="N5" s="18">
        <v>1.5</v>
      </c>
      <c r="O5" s="19">
        <f t="shared" si="1"/>
        <v>1.5</v>
      </c>
    </row>
    <row r="6" spans="1:15">
      <c r="A6" s="17">
        <v>4</v>
      </c>
      <c r="B6" s="3" t="s">
        <v>15</v>
      </c>
      <c r="C6" s="18"/>
      <c r="D6" s="18">
        <v>6</v>
      </c>
      <c r="E6" s="18">
        <f t="shared" si="0"/>
        <v>6</v>
      </c>
      <c r="F6" s="2">
        <v>36</v>
      </c>
      <c r="G6" s="4" t="s">
        <v>16</v>
      </c>
      <c r="H6" s="18"/>
      <c r="I6" s="18">
        <v>8</v>
      </c>
      <c r="J6" s="18">
        <f>H6+I6</f>
        <v>8</v>
      </c>
      <c r="K6" s="2">
        <v>68</v>
      </c>
      <c r="L6" s="2" t="s">
        <v>17</v>
      </c>
      <c r="M6" s="18"/>
      <c r="N6" s="18">
        <v>0.5</v>
      </c>
      <c r="O6" s="19">
        <f t="shared" si="1"/>
        <v>0.5</v>
      </c>
    </row>
    <row r="7" spans="1:15">
      <c r="A7" s="17">
        <v>5</v>
      </c>
      <c r="B7" s="3" t="s">
        <v>18</v>
      </c>
      <c r="C7" s="18"/>
      <c r="D7" s="18">
        <v>5</v>
      </c>
      <c r="E7" s="18">
        <f t="shared" si="0"/>
        <v>5</v>
      </c>
      <c r="F7" s="2">
        <v>37</v>
      </c>
      <c r="G7" s="2" t="s">
        <v>19</v>
      </c>
      <c r="H7" s="18">
        <v>1</v>
      </c>
      <c r="I7" s="18">
        <v>10.25</v>
      </c>
      <c r="J7" s="18">
        <f>SUM(H7:I7)</f>
        <v>11.25</v>
      </c>
      <c r="K7" s="2">
        <v>69</v>
      </c>
      <c r="L7" s="2" t="s">
        <v>20</v>
      </c>
      <c r="M7" s="18">
        <v>9</v>
      </c>
      <c r="N7" s="18">
        <v>14.5</v>
      </c>
      <c r="O7" s="19">
        <f t="shared" si="1"/>
        <v>23.5</v>
      </c>
    </row>
    <row r="8" spans="1:15">
      <c r="A8" s="17">
        <v>6</v>
      </c>
      <c r="B8" s="3" t="s">
        <v>21</v>
      </c>
      <c r="C8" s="18"/>
      <c r="D8" s="18">
        <v>2</v>
      </c>
      <c r="E8" s="18">
        <f t="shared" si="0"/>
        <v>2</v>
      </c>
      <c r="F8" s="2">
        <v>38</v>
      </c>
      <c r="G8" s="4" t="s">
        <v>22</v>
      </c>
      <c r="H8" s="18"/>
      <c r="I8" s="18">
        <v>2</v>
      </c>
      <c r="J8" s="18">
        <f>H8+I8</f>
        <v>2</v>
      </c>
      <c r="K8" s="2">
        <v>70</v>
      </c>
      <c r="L8" s="2" t="s">
        <v>23</v>
      </c>
      <c r="M8" s="18"/>
      <c r="N8" s="18">
        <v>11</v>
      </c>
      <c r="O8" s="19">
        <f t="shared" si="1"/>
        <v>11</v>
      </c>
    </row>
    <row r="9" spans="1:15">
      <c r="A9" s="17">
        <v>7</v>
      </c>
      <c r="B9" s="3" t="s">
        <v>24</v>
      </c>
      <c r="C9" s="18"/>
      <c r="D9" s="18">
        <v>13</v>
      </c>
      <c r="E9" s="18">
        <f t="shared" si="0"/>
        <v>13</v>
      </c>
      <c r="F9" s="2">
        <v>39</v>
      </c>
      <c r="G9" s="4" t="s">
        <v>25</v>
      </c>
      <c r="H9" s="18">
        <v>1</v>
      </c>
      <c r="I9" s="18">
        <v>15</v>
      </c>
      <c r="J9" s="18">
        <f>H9+I9</f>
        <v>16</v>
      </c>
      <c r="K9" s="2">
        <v>71</v>
      </c>
      <c r="L9" s="2" t="s">
        <v>26</v>
      </c>
      <c r="M9" s="18"/>
      <c r="N9" s="18">
        <v>3.5</v>
      </c>
      <c r="O9" s="19">
        <f t="shared" si="1"/>
        <v>3.5</v>
      </c>
    </row>
    <row r="10" spans="1:15">
      <c r="A10" s="17">
        <v>8</v>
      </c>
      <c r="B10" s="3" t="s">
        <v>27</v>
      </c>
      <c r="C10" s="18"/>
      <c r="D10" s="18">
        <v>4</v>
      </c>
      <c r="E10" s="18">
        <f t="shared" si="0"/>
        <v>4</v>
      </c>
      <c r="F10" s="2">
        <v>40</v>
      </c>
      <c r="G10" s="2" t="s">
        <v>28</v>
      </c>
      <c r="H10" s="18"/>
      <c r="I10" s="18">
        <v>1</v>
      </c>
      <c r="J10" s="18">
        <f>SUM(H10:I10)</f>
        <v>1</v>
      </c>
      <c r="K10" s="2">
        <v>72</v>
      </c>
      <c r="L10" s="2" t="s">
        <v>29</v>
      </c>
      <c r="M10" s="18"/>
      <c r="N10" s="18">
        <v>6</v>
      </c>
      <c r="O10" s="19">
        <f t="shared" si="1"/>
        <v>6</v>
      </c>
    </row>
    <row r="11" spans="1:15">
      <c r="A11" s="17">
        <v>9</v>
      </c>
      <c r="B11" s="3" t="s">
        <v>30</v>
      </c>
      <c r="C11" s="18"/>
      <c r="D11" s="18">
        <v>11.5</v>
      </c>
      <c r="E11" s="18">
        <f t="shared" si="0"/>
        <v>11.5</v>
      </c>
      <c r="F11" s="2">
        <v>41</v>
      </c>
      <c r="G11" s="9" t="s">
        <v>31</v>
      </c>
      <c r="H11" s="18"/>
      <c r="I11" s="18">
        <v>11</v>
      </c>
      <c r="J11" s="18">
        <f>H11+I11</f>
        <v>11</v>
      </c>
      <c r="K11" s="2">
        <v>73</v>
      </c>
      <c r="L11" s="3" t="s">
        <v>32</v>
      </c>
      <c r="M11" s="18"/>
      <c r="N11" s="18">
        <v>10</v>
      </c>
      <c r="O11" s="19">
        <f t="shared" si="1"/>
        <v>10</v>
      </c>
    </row>
    <row r="12" spans="1:15">
      <c r="A12" s="17">
        <v>10</v>
      </c>
      <c r="B12" s="3" t="s">
        <v>33</v>
      </c>
      <c r="C12" s="18">
        <v>1</v>
      </c>
      <c r="D12" s="18">
        <v>13.5</v>
      </c>
      <c r="E12" s="18">
        <f t="shared" si="0"/>
        <v>14.5</v>
      </c>
      <c r="F12" s="2">
        <v>42</v>
      </c>
      <c r="G12" s="4" t="s">
        <v>34</v>
      </c>
      <c r="H12" s="18"/>
      <c r="I12" s="18">
        <v>5.25</v>
      </c>
      <c r="J12" s="18">
        <f>H12+I12</f>
        <v>5.25</v>
      </c>
      <c r="K12" s="2">
        <v>74</v>
      </c>
      <c r="L12" s="3" t="s">
        <v>35</v>
      </c>
      <c r="M12" s="18">
        <v>11</v>
      </c>
      <c r="N12" s="18"/>
      <c r="O12" s="19">
        <f t="shared" si="1"/>
        <v>11</v>
      </c>
    </row>
    <row r="13" spans="1:15">
      <c r="A13" s="17">
        <v>11</v>
      </c>
      <c r="B13" s="2" t="s">
        <v>36</v>
      </c>
      <c r="C13" s="18">
        <v>2.5</v>
      </c>
      <c r="D13" s="18">
        <v>0.5</v>
      </c>
      <c r="E13" s="19">
        <f>SUM(C13:D13)</f>
        <v>3</v>
      </c>
      <c r="F13" s="2">
        <v>43</v>
      </c>
      <c r="G13" s="4" t="s">
        <v>37</v>
      </c>
      <c r="H13" s="18"/>
      <c r="I13" s="18">
        <v>3</v>
      </c>
      <c r="J13" s="18">
        <f>H13+I13</f>
        <v>3</v>
      </c>
      <c r="K13" s="2">
        <v>75</v>
      </c>
      <c r="L13" s="2" t="s">
        <v>38</v>
      </c>
      <c r="M13" s="18">
        <v>13</v>
      </c>
      <c r="N13" s="18"/>
      <c r="O13" s="19">
        <f>SUM(M13:N13)</f>
        <v>13</v>
      </c>
    </row>
    <row r="14" spans="1:15">
      <c r="A14" s="17">
        <v>12</v>
      </c>
      <c r="B14" s="3" t="s">
        <v>39</v>
      </c>
      <c r="C14" s="18"/>
      <c r="D14" s="18">
        <v>6</v>
      </c>
      <c r="E14" s="18">
        <f t="shared" si="0"/>
        <v>6</v>
      </c>
      <c r="F14" s="2">
        <v>44</v>
      </c>
      <c r="G14" s="4" t="s">
        <v>40</v>
      </c>
      <c r="H14" s="18">
        <v>7</v>
      </c>
      <c r="I14" s="18">
        <v>9.25</v>
      </c>
      <c r="J14" s="18">
        <f>H14+I14</f>
        <v>16.25</v>
      </c>
      <c r="K14" s="2">
        <v>76</v>
      </c>
      <c r="L14" s="2" t="s">
        <v>41</v>
      </c>
      <c r="M14" s="18"/>
      <c r="N14" s="18">
        <v>15</v>
      </c>
      <c r="O14" s="19">
        <v>15</v>
      </c>
    </row>
    <row r="15" spans="1:15">
      <c r="A15" s="17">
        <v>13</v>
      </c>
      <c r="B15" s="3" t="s">
        <v>42</v>
      </c>
      <c r="C15" s="18"/>
      <c r="D15" s="18">
        <v>10</v>
      </c>
      <c r="E15" s="18">
        <f t="shared" si="0"/>
        <v>10</v>
      </c>
      <c r="F15" s="2">
        <v>45</v>
      </c>
      <c r="G15" s="9" t="s">
        <v>43</v>
      </c>
      <c r="H15" s="18"/>
      <c r="I15" s="18">
        <v>5.5</v>
      </c>
      <c r="J15" s="18">
        <f t="shared" ref="J15:J29" si="2">H15+I15</f>
        <v>5.5</v>
      </c>
      <c r="K15" s="2">
        <v>77</v>
      </c>
      <c r="L15" s="2" t="s">
        <v>44</v>
      </c>
      <c r="M15" s="18">
        <v>3</v>
      </c>
      <c r="N15" s="18">
        <v>7.5</v>
      </c>
      <c r="O15" s="19">
        <v>10.5</v>
      </c>
    </row>
    <row r="16" spans="1:15">
      <c r="A16" s="17">
        <v>14</v>
      </c>
      <c r="B16" s="3" t="s">
        <v>45</v>
      </c>
      <c r="C16" s="18"/>
      <c r="D16" s="18">
        <v>4.25</v>
      </c>
      <c r="E16" s="18">
        <f t="shared" si="0"/>
        <v>4.25</v>
      </c>
      <c r="F16" s="2">
        <v>46</v>
      </c>
      <c r="G16" s="8" t="s">
        <v>46</v>
      </c>
      <c r="H16" s="18">
        <v>1</v>
      </c>
      <c r="I16" s="18">
        <v>5.5</v>
      </c>
      <c r="J16" s="18">
        <f t="shared" si="2"/>
        <v>6.5</v>
      </c>
      <c r="K16" s="2">
        <v>78</v>
      </c>
      <c r="L16" s="2" t="s">
        <v>47</v>
      </c>
      <c r="M16" s="18"/>
      <c r="N16" s="18">
        <v>2.5</v>
      </c>
      <c r="O16" s="19">
        <v>2.5</v>
      </c>
    </row>
    <row r="17" spans="1:15">
      <c r="A17" s="17">
        <v>15</v>
      </c>
      <c r="B17" s="3" t="s">
        <v>48</v>
      </c>
      <c r="C17" s="18"/>
      <c r="D17" s="18">
        <v>3</v>
      </c>
      <c r="E17" s="18">
        <f t="shared" si="0"/>
        <v>3</v>
      </c>
      <c r="F17" s="2">
        <v>47</v>
      </c>
      <c r="G17" s="4" t="s">
        <v>49</v>
      </c>
      <c r="H17" s="18">
        <v>16.5</v>
      </c>
      <c r="I17" s="18">
        <v>15.5</v>
      </c>
      <c r="J17" s="18">
        <f t="shared" si="2"/>
        <v>32</v>
      </c>
      <c r="K17" s="2">
        <v>79</v>
      </c>
      <c r="L17" s="2" t="s">
        <v>50</v>
      </c>
      <c r="M17" s="18"/>
      <c r="N17" s="18">
        <v>2.5</v>
      </c>
      <c r="O17" s="19">
        <v>2.5</v>
      </c>
    </row>
    <row r="18" spans="1:15">
      <c r="A18" s="17">
        <v>16</v>
      </c>
      <c r="B18" s="3" t="s">
        <v>51</v>
      </c>
      <c r="C18" s="18"/>
      <c r="D18" s="18">
        <v>1.5</v>
      </c>
      <c r="E18" s="18">
        <f t="shared" si="0"/>
        <v>1.5</v>
      </c>
      <c r="F18" s="2">
        <v>48</v>
      </c>
      <c r="G18" s="4" t="s">
        <v>52</v>
      </c>
      <c r="H18" s="18"/>
      <c r="I18" s="18">
        <v>6</v>
      </c>
      <c r="J18" s="18">
        <f t="shared" si="2"/>
        <v>6</v>
      </c>
      <c r="K18" s="2">
        <v>80</v>
      </c>
      <c r="L18" s="2" t="s">
        <v>53</v>
      </c>
      <c r="M18" s="18">
        <v>6.25</v>
      </c>
      <c r="N18" s="18">
        <v>2</v>
      </c>
      <c r="O18" s="19">
        <v>8.25</v>
      </c>
    </row>
    <row r="19" spans="1:15">
      <c r="A19" s="17">
        <v>17</v>
      </c>
      <c r="B19" s="3" t="s">
        <v>54</v>
      </c>
      <c r="C19" s="18"/>
      <c r="D19" s="18">
        <v>2</v>
      </c>
      <c r="E19" s="18">
        <f t="shared" si="0"/>
        <v>2</v>
      </c>
      <c r="F19" s="2">
        <v>49</v>
      </c>
      <c r="G19" s="4" t="s">
        <v>55</v>
      </c>
      <c r="H19" s="18"/>
      <c r="I19" s="18">
        <v>1</v>
      </c>
      <c r="J19" s="18">
        <f t="shared" si="2"/>
        <v>1</v>
      </c>
      <c r="K19" s="2"/>
      <c r="L19" s="2"/>
      <c r="M19" s="18"/>
      <c r="N19" s="18"/>
      <c r="O19" s="19"/>
    </row>
    <row r="20" spans="1:15">
      <c r="A20" s="17">
        <v>18</v>
      </c>
      <c r="B20" s="3" t="s">
        <v>56</v>
      </c>
      <c r="C20" s="18">
        <v>4</v>
      </c>
      <c r="D20" s="18">
        <v>2</v>
      </c>
      <c r="E20" s="18">
        <f t="shared" si="0"/>
        <v>6</v>
      </c>
      <c r="F20" s="2">
        <v>50</v>
      </c>
      <c r="G20" s="4" t="s">
        <v>57</v>
      </c>
      <c r="H20" s="18">
        <v>1</v>
      </c>
      <c r="I20" s="18">
        <v>11.25</v>
      </c>
      <c r="J20" s="18">
        <f t="shared" si="2"/>
        <v>12.25</v>
      </c>
      <c r="K20" s="2"/>
      <c r="L20" s="2"/>
      <c r="M20" s="18"/>
      <c r="N20" s="18"/>
      <c r="O20" s="19"/>
    </row>
    <row r="21" spans="1:15">
      <c r="A21" s="17">
        <v>19</v>
      </c>
      <c r="B21" s="3" t="s">
        <v>58</v>
      </c>
      <c r="C21" s="18">
        <v>7</v>
      </c>
      <c r="D21" s="18">
        <v>23.5</v>
      </c>
      <c r="E21" s="18">
        <f t="shared" si="0"/>
        <v>30.5</v>
      </c>
      <c r="F21" s="2">
        <v>51</v>
      </c>
      <c r="G21" s="4" t="s">
        <v>59</v>
      </c>
      <c r="H21" s="18">
        <v>5</v>
      </c>
      <c r="I21" s="18">
        <v>17.5</v>
      </c>
      <c r="J21" s="18">
        <f t="shared" si="2"/>
        <v>22.5</v>
      </c>
      <c r="K21" s="2"/>
      <c r="L21" s="2"/>
      <c r="M21" s="18"/>
      <c r="N21" s="18"/>
      <c r="O21" s="19"/>
    </row>
    <row r="22" spans="1:15">
      <c r="A22" s="17">
        <v>20</v>
      </c>
      <c r="B22" s="3" t="s">
        <v>60</v>
      </c>
      <c r="C22" s="18">
        <v>9</v>
      </c>
      <c r="D22" s="18">
        <v>23</v>
      </c>
      <c r="E22" s="18">
        <f t="shared" si="0"/>
        <v>32</v>
      </c>
      <c r="F22" s="2">
        <v>52</v>
      </c>
      <c r="G22" s="4" t="s">
        <v>61</v>
      </c>
      <c r="H22" s="18">
        <v>7.25</v>
      </c>
      <c r="I22" s="18">
        <v>7.25</v>
      </c>
      <c r="J22" s="18">
        <f t="shared" si="2"/>
        <v>14.5</v>
      </c>
      <c r="K22" s="2"/>
      <c r="L22" s="2"/>
      <c r="M22" s="18"/>
      <c r="N22" s="18"/>
      <c r="O22" s="19"/>
    </row>
    <row r="23" spans="1:15">
      <c r="A23" s="17">
        <v>21</v>
      </c>
      <c r="B23" s="3" t="s">
        <v>62</v>
      </c>
      <c r="C23" s="18">
        <v>7</v>
      </c>
      <c r="D23" s="18">
        <v>9.5</v>
      </c>
      <c r="E23" s="18">
        <f t="shared" si="0"/>
        <v>16.5</v>
      </c>
      <c r="F23" s="2">
        <v>53</v>
      </c>
      <c r="G23" s="4" t="s">
        <v>63</v>
      </c>
      <c r="H23" s="18"/>
      <c r="I23" s="18">
        <v>4.5</v>
      </c>
      <c r="J23" s="18">
        <f t="shared" si="2"/>
        <v>4.5</v>
      </c>
      <c r="K23" s="2"/>
      <c r="L23" s="2"/>
      <c r="M23" s="18"/>
      <c r="N23" s="18"/>
      <c r="O23" s="19"/>
    </row>
    <row r="24" spans="1:15">
      <c r="A24" s="17">
        <v>22</v>
      </c>
      <c r="B24" s="3" t="s">
        <v>64</v>
      </c>
      <c r="C24" s="18">
        <v>7</v>
      </c>
      <c r="D24" s="18">
        <v>7.5</v>
      </c>
      <c r="E24" s="18">
        <f t="shared" si="0"/>
        <v>14.5</v>
      </c>
      <c r="F24" s="2">
        <v>54</v>
      </c>
      <c r="G24" s="3" t="s">
        <v>65</v>
      </c>
      <c r="H24" s="18"/>
      <c r="I24" s="18">
        <v>14.25</v>
      </c>
      <c r="J24" s="18">
        <f t="shared" si="2"/>
        <v>14.25</v>
      </c>
      <c r="K24" s="2"/>
      <c r="L24" s="2"/>
      <c r="M24" s="18"/>
      <c r="N24" s="18"/>
      <c r="O24" s="19"/>
    </row>
    <row r="25" spans="1:15">
      <c r="A25" s="17">
        <v>23</v>
      </c>
      <c r="B25" s="2" t="s">
        <v>66</v>
      </c>
      <c r="C25" s="18"/>
      <c r="D25" s="18">
        <v>0.75</v>
      </c>
      <c r="E25" s="19">
        <f>SUM(C25:D25)</f>
        <v>0.75</v>
      </c>
      <c r="F25" s="2">
        <v>55</v>
      </c>
      <c r="G25" s="2" t="s">
        <v>67</v>
      </c>
      <c r="H25" s="18"/>
      <c r="I25" s="18">
        <v>2.75</v>
      </c>
      <c r="J25" s="18">
        <f t="shared" si="2"/>
        <v>2.75</v>
      </c>
      <c r="K25" s="18"/>
      <c r="L25" s="2"/>
      <c r="M25" s="18"/>
      <c r="N25" s="18"/>
      <c r="O25" s="19"/>
    </row>
    <row r="26" spans="1:15">
      <c r="A26" s="17">
        <v>24</v>
      </c>
      <c r="B26" s="8" t="s">
        <v>68</v>
      </c>
      <c r="C26" s="18">
        <v>12</v>
      </c>
      <c r="D26" s="18">
        <v>5.5</v>
      </c>
      <c r="E26" s="18">
        <f t="shared" si="0"/>
        <v>17.5</v>
      </c>
      <c r="F26" s="2">
        <v>56</v>
      </c>
      <c r="G26" s="2" t="s">
        <v>69</v>
      </c>
      <c r="H26" s="18"/>
      <c r="I26" s="18">
        <v>1</v>
      </c>
      <c r="J26" s="18">
        <f t="shared" si="2"/>
        <v>1</v>
      </c>
      <c r="K26" s="18"/>
      <c r="L26" s="18"/>
      <c r="M26" s="18"/>
      <c r="N26" s="18"/>
      <c r="O26" s="19"/>
    </row>
    <row r="27" spans="1:15">
      <c r="A27" s="17">
        <v>25</v>
      </c>
      <c r="B27" s="4" t="s">
        <v>70</v>
      </c>
      <c r="C27" s="18"/>
      <c r="D27" s="18">
        <v>14</v>
      </c>
      <c r="E27" s="18">
        <f t="shared" si="0"/>
        <v>14</v>
      </c>
      <c r="F27" s="2">
        <v>57</v>
      </c>
      <c r="G27" s="2" t="s">
        <v>71</v>
      </c>
      <c r="H27" s="18"/>
      <c r="I27" s="18">
        <v>3.75</v>
      </c>
      <c r="J27" s="18">
        <f t="shared" si="2"/>
        <v>3.75</v>
      </c>
      <c r="K27" s="18"/>
      <c r="L27" s="18"/>
      <c r="M27" s="18"/>
      <c r="N27" s="18"/>
      <c r="O27" s="19"/>
    </row>
    <row r="28" spans="1:15">
      <c r="A28" s="17">
        <v>26</v>
      </c>
      <c r="B28" s="4" t="s">
        <v>72</v>
      </c>
      <c r="C28" s="18"/>
      <c r="D28" s="18">
        <v>2</v>
      </c>
      <c r="E28" s="18">
        <f t="shared" si="0"/>
        <v>2</v>
      </c>
      <c r="F28" s="2">
        <v>58</v>
      </c>
      <c r="G28" s="2" t="s">
        <v>73</v>
      </c>
      <c r="H28" s="18"/>
      <c r="I28" s="18">
        <v>1.5</v>
      </c>
      <c r="J28" s="18">
        <f t="shared" si="2"/>
        <v>1.5</v>
      </c>
      <c r="K28" s="18"/>
      <c r="L28" s="18"/>
      <c r="M28" s="18"/>
      <c r="N28" s="18"/>
      <c r="O28" s="19"/>
    </row>
    <row r="29" spans="1:15">
      <c r="A29" s="17">
        <v>27</v>
      </c>
      <c r="B29" s="4" t="s">
        <v>74</v>
      </c>
      <c r="C29" s="18">
        <v>9.75</v>
      </c>
      <c r="D29" s="18">
        <v>6.25</v>
      </c>
      <c r="E29" s="18">
        <f t="shared" si="0"/>
        <v>16</v>
      </c>
      <c r="F29" s="2">
        <v>59</v>
      </c>
      <c r="G29" s="2" t="s">
        <v>75</v>
      </c>
      <c r="H29" s="18"/>
      <c r="I29" s="18">
        <v>1.5</v>
      </c>
      <c r="J29" s="18">
        <f t="shared" si="2"/>
        <v>1.5</v>
      </c>
      <c r="K29" s="18"/>
      <c r="L29" s="18"/>
      <c r="M29" s="18"/>
      <c r="N29" s="18"/>
      <c r="O29" s="19"/>
    </row>
    <row r="30" spans="1:15">
      <c r="A30" s="17">
        <v>28</v>
      </c>
      <c r="B30" s="4" t="s">
        <v>76</v>
      </c>
      <c r="C30" s="18"/>
      <c r="D30" s="18">
        <v>3</v>
      </c>
      <c r="E30" s="18">
        <f t="shared" si="0"/>
        <v>3</v>
      </c>
      <c r="F30" s="2">
        <v>60</v>
      </c>
      <c r="G30" s="2" t="s">
        <v>77</v>
      </c>
      <c r="H30" s="18"/>
      <c r="I30" s="18">
        <v>0.75</v>
      </c>
      <c r="J30" s="18">
        <v>0.75</v>
      </c>
      <c r="K30" s="18"/>
      <c r="L30" s="18"/>
      <c r="M30" s="18"/>
      <c r="N30" s="18"/>
      <c r="O30" s="19"/>
    </row>
    <row r="31" spans="1:15">
      <c r="A31" s="17">
        <v>29</v>
      </c>
      <c r="B31" s="4" t="s">
        <v>78</v>
      </c>
      <c r="C31" s="18"/>
      <c r="D31" s="18">
        <v>1</v>
      </c>
      <c r="E31" s="18">
        <f t="shared" si="0"/>
        <v>1</v>
      </c>
      <c r="F31" s="2">
        <v>61</v>
      </c>
      <c r="G31" s="2" t="s">
        <v>79</v>
      </c>
      <c r="H31" s="18"/>
      <c r="I31" s="18">
        <v>2</v>
      </c>
      <c r="J31" s="18">
        <f t="shared" ref="J31:J34" si="3">H31+I31</f>
        <v>2</v>
      </c>
      <c r="K31" s="18"/>
      <c r="L31" s="18"/>
      <c r="M31" s="18"/>
      <c r="N31" s="18"/>
      <c r="O31" s="19"/>
    </row>
    <row r="32" spans="1:15">
      <c r="A32" s="17">
        <v>30</v>
      </c>
      <c r="B32" s="4" t="s">
        <v>80</v>
      </c>
      <c r="C32" s="18">
        <v>1.5</v>
      </c>
      <c r="D32" s="18">
        <v>4</v>
      </c>
      <c r="E32" s="18">
        <f t="shared" si="0"/>
        <v>5.5</v>
      </c>
      <c r="F32" s="2">
        <v>62</v>
      </c>
      <c r="G32" s="2" t="s">
        <v>81</v>
      </c>
      <c r="H32" s="18"/>
      <c r="I32" s="18">
        <v>2</v>
      </c>
      <c r="J32" s="18">
        <f t="shared" si="3"/>
        <v>2</v>
      </c>
      <c r="K32" s="18"/>
      <c r="L32" s="18"/>
      <c r="M32" s="18"/>
      <c r="N32" s="18"/>
      <c r="O32" s="19"/>
    </row>
    <row r="33" spans="1:15">
      <c r="A33" s="17">
        <v>31</v>
      </c>
      <c r="B33" s="8" t="s">
        <v>82</v>
      </c>
      <c r="C33" s="18">
        <v>4</v>
      </c>
      <c r="D33" s="18">
        <v>7</v>
      </c>
      <c r="E33" s="18">
        <f t="shared" si="0"/>
        <v>11</v>
      </c>
      <c r="F33" s="2">
        <v>63</v>
      </c>
      <c r="G33" s="2" t="s">
        <v>83</v>
      </c>
      <c r="H33" s="18"/>
      <c r="I33" s="18">
        <v>1</v>
      </c>
      <c r="J33" s="18">
        <f t="shared" si="3"/>
        <v>1</v>
      </c>
      <c r="K33" s="18"/>
      <c r="L33" s="18"/>
      <c r="M33" s="18"/>
      <c r="N33" s="18"/>
      <c r="O33" s="19"/>
    </row>
    <row r="34" spans="1:15">
      <c r="A34" s="20">
        <v>32</v>
      </c>
      <c r="B34" s="11" t="s">
        <v>84</v>
      </c>
      <c r="C34" s="21">
        <v>4.5</v>
      </c>
      <c r="D34" s="21">
        <v>4.5</v>
      </c>
      <c r="E34" s="21">
        <f t="shared" si="0"/>
        <v>9</v>
      </c>
      <c r="F34" s="7">
        <v>64</v>
      </c>
      <c r="G34" s="7" t="s">
        <v>85</v>
      </c>
      <c r="H34" s="21"/>
      <c r="I34" s="21">
        <v>1.5</v>
      </c>
      <c r="J34" s="21">
        <f t="shared" si="3"/>
        <v>1.5</v>
      </c>
      <c r="K34" s="21"/>
      <c r="L34" s="21"/>
      <c r="M34" s="21"/>
      <c r="N34" s="21"/>
      <c r="O34" s="24"/>
    </row>
    <row r="43" spans="1:15">
      <c r="F43" s="22"/>
      <c r="G43" s="22"/>
      <c r="H43" s="22"/>
      <c r="I43" s="22"/>
      <c r="J43" s="22"/>
    </row>
    <row r="44" spans="1:15">
      <c r="F44" s="22"/>
      <c r="G44" s="22"/>
      <c r="H44" s="22"/>
      <c r="I44" s="22"/>
      <c r="J44" s="22"/>
    </row>
    <row r="45" spans="1:15">
      <c r="F45" s="22"/>
      <c r="G45" s="22"/>
      <c r="H45" s="22"/>
      <c r="I45" s="22"/>
      <c r="J45" s="22"/>
    </row>
    <row r="46" spans="1:15">
      <c r="F46" s="22"/>
      <c r="G46" s="22"/>
      <c r="H46" s="22"/>
      <c r="I46" s="22"/>
      <c r="J46" s="22"/>
    </row>
    <row r="47" spans="1:15">
      <c r="F47" s="22"/>
      <c r="G47" s="22"/>
      <c r="H47" s="22"/>
      <c r="I47" s="22"/>
      <c r="J47" s="22"/>
    </row>
  </sheetData>
  <mergeCells count="1">
    <mergeCell ref="A1:O1"/>
  </mergeCells>
  <phoneticPr fontId="11" type="noConversion"/>
  <conditionalFormatting sqref="E3:E34 J3:J34 O3:O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80"/>
  <sheetViews>
    <sheetView topLeftCell="A61" workbookViewId="0">
      <selection activeCell="M93" sqref="M93"/>
    </sheetView>
  </sheetViews>
  <sheetFormatPr defaultColWidth="9" defaultRowHeight="13.5"/>
  <sheetData>
    <row r="1" spans="1:1">
      <c r="A1" s="1"/>
    </row>
    <row r="2" spans="1:1">
      <c r="A2" s="2"/>
    </row>
    <row r="3" spans="1:1">
      <c r="A3" s="3"/>
    </row>
    <row r="4" spans="1:1">
      <c r="A4" s="4"/>
    </row>
    <row r="5" spans="1:1">
      <c r="A5" s="2"/>
    </row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2"/>
    </row>
    <row r="11" spans="1:1">
      <c r="A11" s="3"/>
    </row>
    <row r="12" spans="1:1">
      <c r="A12" s="3"/>
    </row>
    <row r="13" spans="1:1">
      <c r="A13" s="3"/>
    </row>
    <row r="14" spans="1:1">
      <c r="A14" s="2"/>
    </row>
    <row r="15" spans="1:1">
      <c r="A15" s="3"/>
    </row>
    <row r="16" spans="1:1">
      <c r="A16" s="4"/>
    </row>
    <row r="17" spans="1:1">
      <c r="A17" s="4"/>
    </row>
    <row r="18" spans="1:1">
      <c r="A18" s="2"/>
    </row>
    <row r="19" spans="1:1">
      <c r="A19" s="5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2"/>
    </row>
    <row r="26" spans="1:1">
      <c r="A26" s="6"/>
    </row>
    <row r="27" spans="1:1">
      <c r="A27" s="3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7"/>
    </row>
    <row r="33" spans="1:1">
      <c r="A33" s="5"/>
    </row>
    <row r="34" spans="1:1">
      <c r="A34" s="4"/>
    </row>
    <row r="35" spans="1:1">
      <c r="A35" s="4"/>
    </row>
    <row r="36" spans="1:1">
      <c r="A36" s="3"/>
    </row>
    <row r="37" spans="1:1">
      <c r="A37" s="2"/>
    </row>
    <row r="38" spans="1:1">
      <c r="A38" s="2"/>
    </row>
    <row r="39" spans="1:1">
      <c r="A39" s="8"/>
    </row>
    <row r="40" spans="1:1">
      <c r="A40" s="4"/>
    </row>
    <row r="41" spans="1:1">
      <c r="A41" s="2"/>
    </row>
    <row r="42" spans="1:1">
      <c r="A42" s="6"/>
    </row>
    <row r="43" spans="1:1">
      <c r="A43" s="4"/>
    </row>
    <row r="44" spans="1:1">
      <c r="A44" s="2"/>
    </row>
    <row r="45" spans="1:1">
      <c r="A45" s="4"/>
    </row>
    <row r="46" spans="1:1">
      <c r="A46" s="9"/>
    </row>
    <row r="47" spans="1:1">
      <c r="A47" s="2"/>
    </row>
    <row r="48" spans="1:1">
      <c r="A48" s="9"/>
    </row>
    <row r="49" spans="1:1">
      <c r="A49" s="2"/>
    </row>
    <row r="50" spans="1:1">
      <c r="A50" s="3"/>
    </row>
    <row r="51" spans="1:1">
      <c r="A51" s="2"/>
    </row>
    <row r="52" spans="1:1">
      <c r="A52" s="6"/>
    </row>
    <row r="53" spans="1:1">
      <c r="A53" s="4"/>
    </row>
    <row r="54" spans="1:1">
      <c r="A54" s="3"/>
    </row>
    <row r="55" spans="1:1">
      <c r="A55" s="3"/>
    </row>
    <row r="56" spans="1:1">
      <c r="A56" s="4"/>
    </row>
    <row r="57" spans="1:1">
      <c r="A57" s="3"/>
    </row>
    <row r="58" spans="1:1">
      <c r="A58" s="4"/>
    </row>
    <row r="59" spans="1:1">
      <c r="A59" s="4"/>
    </row>
    <row r="60" spans="1:1">
      <c r="A60" s="10"/>
    </row>
    <row r="61" spans="1:1">
      <c r="A61" s="4"/>
    </row>
    <row r="62" spans="1:1">
      <c r="A62" s="3"/>
    </row>
    <row r="63" spans="1:1">
      <c r="A63" s="2"/>
    </row>
    <row r="64" spans="1:1">
      <c r="A64" s="11"/>
    </row>
    <row r="65" spans="1:1">
      <c r="A65" s="2"/>
    </row>
    <row r="66" spans="1:1">
      <c r="A66" s="3"/>
    </row>
    <row r="67" spans="1:1">
      <c r="A67" s="6"/>
    </row>
    <row r="68" spans="1:1">
      <c r="A68" s="2"/>
    </row>
    <row r="69" spans="1:1">
      <c r="A69" s="2"/>
    </row>
    <row r="70" spans="1:1">
      <c r="A70" s="8"/>
    </row>
    <row r="71" spans="1:1">
      <c r="A71" s="4"/>
    </row>
    <row r="72" spans="1:1">
      <c r="A72" s="5"/>
    </row>
    <row r="73" spans="1:1">
      <c r="A73" s="3"/>
    </row>
    <row r="74" spans="1:1">
      <c r="A74" s="2"/>
    </row>
    <row r="75" spans="1:1">
      <c r="A75" s="3"/>
    </row>
    <row r="76" spans="1:1">
      <c r="A76" s="2"/>
    </row>
    <row r="77" spans="1:1">
      <c r="A77" s="4"/>
    </row>
    <row r="78" spans="1:1">
      <c r="A78" s="4"/>
    </row>
    <row r="79" spans="1:1">
      <c r="A79" s="2"/>
    </row>
    <row r="80" spans="1:1">
      <c r="A80" s="8"/>
    </row>
  </sheetData>
  <sortState xmlns:xlrd2="http://schemas.microsoft.com/office/spreadsheetml/2017/richdata2" ref="A2:A80">
    <sortCondition ref="A2"/>
  </sortState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" defaultRowHeight="13.5"/>
  <sheetData/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Shark Yang</cp:lastModifiedBy>
  <dcterms:created xsi:type="dcterms:W3CDTF">2022-07-25T03:29:00Z</dcterms:created>
  <dcterms:modified xsi:type="dcterms:W3CDTF">2025-06-20T23:06:36Z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63915EF72F4D4C8BAC67CB5A11668F96</vt:lpwstr>
  </property>
  <property fmtid="{D5CDD505-2E9C-101B-9397-08002B2CF9AE}" pid="3" name="KSOProductBuildVer">
    <vt:lpwstr>2052-11.1.0.14309</vt:lpwstr>
  </property>
</Properties>
</file>